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PERFIS_FII" sheetId="2" state="visible" r:id="rId4"/>
  </sheets>
  <definedNames>
    <definedName function="false" hidden="false" name="aporte" vbProcedure="false">SIMULADOR!$F$7</definedName>
    <definedName function="false" hidden="false" name="taxa_mensal" vbProcedure="false">SIMULADOR!$F$9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<sst xmlns="http://schemas.openxmlformats.org/spreadsheetml/2006/main" count="73" uniqueCount="34">
  <si>
    <t xml:space="preserve">FII INVEST — SIMULADOR DE PATRIMÔNIO E DIVIDENDOS</t>
  </si>
  <si>
    <t xml:space="preserve">CONFIGURAÇÕES DO INVESTIMENTO</t>
  </si>
  <si>
    <t xml:space="preserve">CONFIGURAÇÕES FINANCEIRAS</t>
  </si>
  <si>
    <t xml:space="preserve">Aporte Mensal (R$)</t>
  </si>
  <si>
    <t xml:space="preserve">Salário Mensal (R$)</t>
  </si>
  <si>
    <t xml:space="preserve">Prazo do Investimento (anos)</t>
  </si>
  <si>
    <t xml:space="preserve">Percentual Sugerido de Aporte</t>
  </si>
  <si>
    <t xml:space="preserve">30%</t>
  </si>
  <si>
    <t xml:space="preserve">Taxa de Rendimento Mensal (%)</t>
  </si>
  <si>
    <t xml:space="preserve">1,079%</t>
  </si>
  <si>
    <t xml:space="preserve">Aporte Mensal Sugerido (R$)</t>
  </si>
  <si>
    <t xml:space="preserve">Patrimônio Acumulado (R$)</t>
  </si>
  <si>
    <t xml:space="preserve">Perfil do Investidor</t>
  </si>
  <si>
    <t xml:space="preserve">Agressivo</t>
  </si>
  <si>
    <t xml:space="preserve">Dividendos Mensais Estimados (R$)</t>
  </si>
  <si>
    <t xml:space="preserve">SIMULAÇÃO DE CENÁRIOS</t>
  </si>
  <si>
    <t xml:space="preserve">DISTRIBUIÇÃO DOS INVESTIMENTOS</t>
  </si>
  <si>
    <t xml:space="preserve">Prazo (anos)</t>
  </si>
  <si>
    <t xml:space="preserve">Patrimônio Projetado (R$)</t>
  </si>
  <si>
    <t xml:space="preserve">Dividendos Mensais (R$</t>
  </si>
  <si>
    <t xml:space="preserve">Tipo de FII</t>
  </si>
  <si>
    <t xml:space="preserve">Percentual (%)</t>
  </si>
  <si>
    <t xml:space="preserve">Valor do Aporte (R$)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</si>
  <si>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</si>
  <si>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</si>
  <si>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</si>
  <si>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</si>
  <si>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</si>
  <si>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</t>
  </si>
  <si>
    <t xml:space="preserve">Total</t>
  </si>
  <si>
    <t xml:space="preserve">Chave</t>
  </si>
  <si>
    <t xml:space="preserve">Percentual de Alocação</t>
  </si>
  <si>
    <t xml:space="preserve">Conservador</t>
  </si>
  <si>
    <t xml:space="preserve">Moderado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</si>
</sst>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R$-416]\ #,##0.00;[RED]\-[$R$-416]\ #,##0.00"/>
    <numFmt numFmtId="166" formatCode="@"/>
    <numFmt numFmtId="167" formatCode="0.00%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Mesclar"/>
      <family val="0"/>
      <charset val="1"/>
    </font>
    <font>
      <sz val="10"/>
      <name val="Times New Roman"/>
      <family val="1"/>
    </font>
    <font>
      <b val="true"/>
      <sz val="14"/>
      <color rgb="FF2A6099"/>
      <name val="Times New Roman"/>
      <family val="1"/>
    </font>
    <font>
      <b val="true"/>
      <sz val="14"/>
      <color rgb="FF158466"/>
      <name val="Times New Roman"/>
      <family val="1"/>
    </font>
    <font>
      <b val="true"/>
      <sz val="10"/>
      <color rgb="FFFFFFFF"/>
      <name val="Times New Roman"/>
      <family val="1"/>
    </font>
    <font>
      <b val="true"/>
      <sz val="10.5"/>
      <color rgb="FFFFFFFF"/>
      <name val="Times New Roman"/>
      <family val="1"/>
    </font>
    <font>
      <b val="true"/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A6099"/>
        <bgColor rgb="FF666699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5"/>
  <sheetViews>
    <sheetView showFormulas="false" showGridLines="true" showRowColHeaders="true" showZeros="true" rightToLeft="false" tabSelected="true" showOutlineSymbols="true" defaultGridColor="true" view="normal" topLeftCell="A7" colorId="64" zoomScale="78" zoomScaleNormal="78" zoomScalePageLayoutView="100" workbookViewId="0">
      <selection pane="topLeft" activeCell="K24" activeCellId="0" sqref="K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0" width="15.85"/>
    <col collapsed="false" customWidth="true" hidden="false" outlineLevel="0" max="8" min="8" style="0" width="26.57"/>
    <col collapsed="false" customWidth="true" hidden="false" outlineLevel="0" max="12" min="12" style="0" width="9.78"/>
  </cols>
  <sheetData>
    <row r="2" customFormat="false" ht="12.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2.8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5" customFormat="false" ht="12.8" hidden="false" customHeight="true" outlineLevel="0" collapsed="false">
      <c r="B5" s="2" t="s">
        <v>1</v>
      </c>
      <c r="C5" s="2"/>
      <c r="D5" s="2"/>
      <c r="E5" s="2"/>
      <c r="F5" s="2"/>
      <c r="H5" s="2" t="s">
        <v>2</v>
      </c>
      <c r="I5" s="2"/>
      <c r="J5" s="2"/>
      <c r="K5" s="2"/>
      <c r="L5" s="2"/>
    </row>
    <row r="7" customFormat="false" ht="23.85" hidden="false" customHeight="false" outlineLevel="0" collapsed="false">
      <c r="B7" s="3" t="s">
        <v>3</v>
      </c>
      <c r="E7" s="4"/>
      <c r="F7" s="4" t="n">
        <v>200</v>
      </c>
      <c r="H7" s="3" t="s">
        <v>4</v>
      </c>
      <c r="L7" s="5" t="n">
        <v>3000</v>
      </c>
    </row>
    <row r="8" customFormat="false" ht="35.05" hidden="false" customHeight="false" outlineLevel="0" collapsed="false">
      <c r="B8" s="3" t="s">
        <v>5</v>
      </c>
      <c r="E8" s="3"/>
      <c r="F8" s="3" t="n">
        <v>5</v>
      </c>
      <c r="H8" s="3" t="s">
        <v>6</v>
      </c>
      <c r="L8" s="6" t="s">
        <v>7</v>
      </c>
    </row>
    <row r="9" customFormat="false" ht="35.05" hidden="false" customHeight="false" outlineLevel="0" collapsed="false">
      <c r="B9" s="3" t="s">
        <v>8</v>
      </c>
      <c r="E9" s="6"/>
      <c r="F9" s="6" t="s">
        <v>9</v>
      </c>
      <c r="H9" s="3" t="s">
        <v>10</v>
      </c>
      <c r="L9" s="5" t="n">
        <f aca="false">L7*L8</f>
        <v>900</v>
      </c>
    </row>
    <row r="11" customFormat="false" ht="35.05" hidden="false" customHeight="false" outlineLevel="0" collapsed="false">
      <c r="B11" s="3" t="s">
        <v>11</v>
      </c>
      <c r="E11" s="5"/>
      <c r="F11" s="7" t="n">
        <f aca="false">FV(taxa_mensal,F8*12,-aporte,0,0)</f>
        <v>16755.3827996975</v>
      </c>
      <c r="H11" s="3" t="s">
        <v>12</v>
      </c>
      <c r="L11" s="3" t="s">
        <v>13</v>
      </c>
    </row>
    <row r="12" customFormat="false" ht="46.25" hidden="false" customHeight="false" outlineLevel="0" collapsed="false">
      <c r="B12" s="3" t="s">
        <v>14</v>
      </c>
      <c r="F12" s="8" t="n">
        <f aca="false">F11*0.6%</f>
        <v>100.532296798185</v>
      </c>
      <c r="H12" s="4"/>
    </row>
    <row r="13" customFormat="false" ht="23.85" hidden="false" customHeight="false" outlineLevel="0" collapsed="false">
      <c r="F13" s="3"/>
      <c r="H13" s="3"/>
    </row>
    <row r="15" customFormat="false" ht="12.8" hidden="false" customHeight="true" outlineLevel="0" collapsed="false">
      <c r="B15" s="2" t="s">
        <v>15</v>
      </c>
      <c r="C15" s="2"/>
      <c r="D15" s="2"/>
      <c r="E15" s="2"/>
      <c r="F15" s="2"/>
      <c r="H15" s="2" t="s">
        <v>16</v>
      </c>
      <c r="I15" s="2"/>
      <c r="J15" s="2"/>
      <c r="K15" s="2"/>
      <c r="L15" s="2"/>
    </row>
    <row r="17" customFormat="false" ht="36.35" hidden="false" customHeight="false" outlineLevel="0" collapsed="false">
      <c r="B17" s="9" t="s">
        <v>17</v>
      </c>
      <c r="D17" s="9" t="s">
        <v>18</v>
      </c>
      <c r="F17" s="9" t="s">
        <v>19</v>
      </c>
      <c r="H17" s="10" t="s">
        <v>20</v>
      </c>
      <c r="J17" s="10" t="s">
        <v>21</v>
      </c>
      <c r="L17" s="10" t="s">
        <v>22</v>
      </c>
      <c r="N17" s="11"/>
    </row>
    <row r="18" customFormat="false" ht="12.8" hidden="false" customHeight="false" outlineLevel="0" collapsed="false">
      <c r="B18" s="0" t="n">
        <v>2</v>
      </c>
      <c r="D18" s="5" t="n">
        <f aca="false">FV(taxa_mensal,B18*12,-aporte,0,0)</f>
        <v>5445.52545952903</v>
      </c>
      <c r="F18" s="5" t="n">
        <f aca="false">D18*0.6%</f>
        <v>32.6731527571742</v>
      </c>
      <c r="H18" s="3" t="s">
        <v>23</v>
      </c>
      <c r="J18" s="12" t="n">
        <f aca="false">VLOOKUP($L$11&amp;"_"&amp;H18,PERFIS_FII!$A$2:$D$21,4,0)</f>
        <v>0.15</v>
      </c>
      <c r="L18" s="5" t="n">
        <f aca="false">aporte*J18</f>
        <v>30</v>
      </c>
    </row>
    <row r="19" customFormat="false" ht="12.8" hidden="false" customHeight="false" outlineLevel="0" collapsed="false">
      <c r="B19" s="0" t="n">
        <v>5</v>
      </c>
      <c r="D19" s="5" t="n">
        <f aca="false">FV(taxa_mensal,B19*12,-aporte,0,0)</f>
        <v>16755.3827996975</v>
      </c>
      <c r="F19" s="5" t="n">
        <f aca="false">D19*0.6%</f>
        <v>100.532296798185</v>
      </c>
      <c r="H19" s="0" t="s">
        <v>24</v>
      </c>
      <c r="J19" s="12" t="n">
        <f aca="false">VLOOKUP($L$11&amp;"_"&amp;H19,PERFIS_FII!$A$2:$D$21,4,0)</f>
        <v>0.2</v>
      </c>
      <c r="L19" s="5" t="n">
        <f aca="false">aporte*J19</f>
        <v>40</v>
      </c>
    </row>
    <row r="20" customFormat="false" ht="12.8" hidden="false" customHeight="false" outlineLevel="0" collapsed="false">
      <c r="B20" s="0" t="n">
        <v>10</v>
      </c>
      <c r="D20" s="5" t="n">
        <f aca="false">FV(taxa_mensal,B20*12,-aporte,0,0)</f>
        <v>48656.8425060342</v>
      </c>
      <c r="F20" s="5" t="n">
        <f aca="false">D20*0.6%</f>
        <v>291.941055036205</v>
      </c>
      <c r="H20" s="3" t="s">
        <v>25</v>
      </c>
      <c r="J20" s="12" t="n">
        <f aca="false">VLOOKUP($L$11&amp;"_"&amp;H20,PERFIS_FII!$A$2:$D$21,4,0)</f>
        <v>0.15</v>
      </c>
      <c r="L20" s="5" t="n">
        <f aca="false">aporte*J20</f>
        <v>30</v>
      </c>
    </row>
    <row r="21" customFormat="false" ht="12.8" hidden="false" customHeight="false" outlineLevel="0" collapsed="false">
      <c r="B21" s="0" t="n">
        <v>20</v>
      </c>
      <c r="D21" s="5" t="n">
        <f aca="false">FV(taxa_mensal,B21*12,-aporte,0,0)</f>
        <v>225039.680019415</v>
      </c>
      <c r="F21" s="5" t="n">
        <f aca="false">D21*0.6%</f>
        <v>1350.23808011649</v>
      </c>
      <c r="H21" s="0" t="s">
        <v>26</v>
      </c>
      <c r="J21" s="12" t="n">
        <f aca="false">VLOOKUP($L$11&amp;"_"&amp;H21,PERFIS_FII!$A$2:$D$21,4,0)</f>
        <v>0.1</v>
      </c>
      <c r="L21" s="5" t="n">
        <f aca="false">aporte*J21</f>
        <v>20</v>
      </c>
    </row>
    <row r="22" customFormat="false" ht="12.8" hidden="false" customHeight="false" outlineLevel="0" collapsed="false">
      <c r="B22" s="0" t="n">
        <v>30</v>
      </c>
      <c r="D22" s="5" t="n">
        <f aca="false">FV(taxa_mensal,B22*12,-aporte,0,0)</f>
        <v>864433.931000934</v>
      </c>
      <c r="F22" s="5" t="n">
        <f aca="false">D22*0.6%</f>
        <v>5186.60358600561</v>
      </c>
      <c r="H22" s="0" t="s">
        <v>27</v>
      </c>
      <c r="J22" s="12" t="n">
        <f aca="false">VLOOKUP($L$11&amp;"_"&amp;H22,PERFIS_FII!$A$2:$D$21,4,0)</f>
        <v>0.25</v>
      </c>
      <c r="L22" s="5" t="n">
        <f aca="false">aporte*J22</f>
        <v>50</v>
      </c>
    </row>
    <row r="23" customFormat="false" ht="12.8" hidden="false" customHeight="false" outlineLevel="0" collapsed="false">
      <c r="H23" s="0" t="s">
        <v>28</v>
      </c>
      <c r="J23" s="12" t="n">
        <f aca="false">VLOOKUP($L$11&amp;"_"&amp;H23,PERFIS_FII!$A$2:$D$21,4,0)</f>
        <v>0.15</v>
      </c>
      <c r="L23" s="5" t="n">
        <f aca="false">aporte*J23</f>
        <v>30</v>
      </c>
    </row>
    <row r="24" customFormat="false" ht="12.8" hidden="false" customHeight="false" outlineLevel="0" collapsed="false">
      <c r="H24" s="13" t="s">
        <v>29</v>
      </c>
      <c r="I24" s="13"/>
      <c r="J24" s="14" t="n">
        <f aca="false">SUM(J18:J23)</f>
        <v>1</v>
      </c>
      <c r="K24" s="13"/>
      <c r="L24" s="15" t="n">
        <f aca="false">SUM(L18:L23)</f>
        <v>200</v>
      </c>
    </row>
    <row r="25" customFormat="false" ht="12.8" hidden="false" customHeight="false" outlineLevel="0" collapsed="false">
      <c r="I25" s="16"/>
    </row>
  </sheetData>
  <mergeCells count="5">
    <mergeCell ref="B2:M3"/>
    <mergeCell ref="B5:F5"/>
    <mergeCell ref="H5:L5"/>
    <mergeCell ref="B15:F15"/>
    <mergeCell ref="H15:L15"/>
  </mergeCells>
  <dataValidations count="1">
    <dataValidation allowBlank="true" errorStyle="stop" operator="equal" showDropDown="false" showErrorMessage="true" showInputMessage="false" sqref="L11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7" t="s">
        <v>30</v>
      </c>
      <c r="B1" s="17" t="s">
        <v>12</v>
      </c>
      <c r="C1" s="17" t="s">
        <v>20</v>
      </c>
      <c r="D1" s="17" t="s">
        <v>31</v>
      </c>
    </row>
    <row r="2" customFormat="false" ht="23.85" hidden="false" customHeight="false" outlineLevel="0" collapsed="false">
      <c r="A2" s="3" t="str">
        <f aca="false">B2&amp;"_"&amp;C2</f>
        <v>Conservador_Papel</v>
      </c>
      <c r="B2" s="3" t="s">
        <v>32</v>
      </c>
      <c r="C2" s="3" t="s">
        <v>23</v>
      </c>
      <c r="D2" s="18" t="n">
        <v>0.35</v>
      </c>
    </row>
    <row r="3" customFormat="false" ht="23.85" hidden="false" customHeight="false" outlineLevel="0" collapsed="false">
      <c r="A3" s="3" t="str">
        <f aca="false">B3&amp;"_"&amp;C3</f>
        <v>Conservador_Tijolo</v>
      </c>
      <c r="B3" s="3" t="s">
        <v>32</v>
      </c>
      <c r="C3" s="0" t="s">
        <v>24</v>
      </c>
      <c r="D3" s="18" t="n">
        <v>0.3</v>
      </c>
    </row>
    <row r="4" customFormat="false" ht="23.85" hidden="false" customHeight="false" outlineLevel="0" collapsed="false">
      <c r="A4" s="3" t="str">
        <f aca="false">B4&amp;"_"&amp;C4</f>
        <v>Conservador_Híbridos</v>
      </c>
      <c r="B4" s="3" t="s">
        <v>32</v>
      </c>
      <c r="C4" s="3" t="s">
        <v>25</v>
      </c>
      <c r="D4" s="18" t="n">
        <v>0.2</v>
      </c>
    </row>
    <row r="5" customFormat="false" ht="23.85" hidden="false" customHeight="false" outlineLevel="0" collapsed="false">
      <c r="A5" s="3" t="str">
        <f aca="false">B5&amp;"_"&amp;C5</f>
        <v>Conservador_FOFs</v>
      </c>
      <c r="B5" s="3" t="s">
        <v>32</v>
      </c>
      <c r="C5" s="0" t="s">
        <v>26</v>
      </c>
      <c r="D5" s="18" t="n">
        <v>0.1</v>
      </c>
    </row>
    <row r="6" customFormat="false" ht="35.05" hidden="false" customHeight="false" outlineLevel="0" collapsed="false">
      <c r="A6" s="3" t="str">
        <f aca="false">B6&amp;"_"&amp;C6</f>
        <v>Conservador_Desenvolvimento</v>
      </c>
      <c r="B6" s="3" t="s">
        <v>32</v>
      </c>
      <c r="C6" s="0" t="s">
        <v>27</v>
      </c>
      <c r="D6" s="18" t="n">
        <v>0.03</v>
      </c>
    </row>
    <row r="7" customFormat="false" ht="23.85" hidden="false" customHeight="false" outlineLevel="0" collapsed="false">
      <c r="A7" s="3" t="str">
        <f aca="false">B7&amp;"_"&amp;C7</f>
        <v>Conservador_Hotelaria</v>
      </c>
      <c r="B7" s="3" t="s">
        <v>32</v>
      </c>
      <c r="C7" s="0" t="s">
        <v>28</v>
      </c>
      <c r="D7" s="18" t="n">
        <v>0.02</v>
      </c>
    </row>
    <row r="8" customFormat="false" ht="12.8" hidden="false" customHeight="false" outlineLevel="0" collapsed="false">
      <c r="C8" s="0" t="s">
        <v>29</v>
      </c>
      <c r="D8" s="12" t="n">
        <f aca="false">SUM(D2:D7)</f>
        <v>1</v>
      </c>
    </row>
    <row r="9" customFormat="false" ht="23.85" hidden="false" customHeight="false" outlineLevel="0" collapsed="false">
      <c r="A9" s="3" t="str">
        <f aca="false">B9&amp;"_"&amp;C9</f>
        <v>Moderado_Papel</v>
      </c>
      <c r="B9" s="3" t="s">
        <v>33</v>
      </c>
      <c r="C9" s="3" t="s">
        <v>23</v>
      </c>
      <c r="D9" s="18" t="n">
        <v>0.25</v>
      </c>
    </row>
    <row r="10" customFormat="false" ht="23.85" hidden="false" customHeight="false" outlineLevel="0" collapsed="false">
      <c r="A10" s="3" t="str">
        <f aca="false">B10&amp;"_"&amp;C10</f>
        <v>Moderado_Tijolo</v>
      </c>
      <c r="B10" s="3" t="s">
        <v>33</v>
      </c>
      <c r="C10" s="0" t="s">
        <v>24</v>
      </c>
      <c r="D10" s="18" t="n">
        <v>0.3</v>
      </c>
    </row>
    <row r="11" customFormat="false" ht="23.85" hidden="false" customHeight="false" outlineLevel="0" collapsed="false">
      <c r="A11" s="3" t="str">
        <f aca="false">B11&amp;"_"&amp;C11</f>
        <v>Moderado_Híbridos</v>
      </c>
      <c r="B11" s="3" t="s">
        <v>33</v>
      </c>
      <c r="C11" s="3" t="s">
        <v>25</v>
      </c>
      <c r="D11" s="18" t="n">
        <v>0.2</v>
      </c>
    </row>
    <row r="12" customFormat="false" ht="23.85" hidden="false" customHeight="false" outlineLevel="0" collapsed="false">
      <c r="A12" s="3" t="str">
        <f aca="false">B12&amp;"_"&amp;C12</f>
        <v>Moderado_FOFs</v>
      </c>
      <c r="B12" s="3" t="s">
        <v>33</v>
      </c>
      <c r="C12" s="0" t="s">
        <v>26</v>
      </c>
      <c r="D12" s="18" t="n">
        <v>0.15</v>
      </c>
    </row>
    <row r="13" customFormat="false" ht="23.85" hidden="false" customHeight="false" outlineLevel="0" collapsed="false">
      <c r="A13" s="3" t="str">
        <f aca="false">B13&amp;"_"&amp;C13</f>
        <v>Moderado_Desenvolvimento</v>
      </c>
      <c r="B13" s="3" t="s">
        <v>33</v>
      </c>
      <c r="C13" s="0" t="s">
        <v>27</v>
      </c>
      <c r="D13" s="18" t="n">
        <v>0.05</v>
      </c>
    </row>
    <row r="14" customFormat="false" ht="23.85" hidden="false" customHeight="false" outlineLevel="0" collapsed="false">
      <c r="A14" s="3" t="str">
        <f aca="false">B14&amp;"_"&amp;C14</f>
        <v>Moderado_Hotelaria</v>
      </c>
      <c r="B14" s="3" t="s">
        <v>33</v>
      </c>
      <c r="C14" s="0" t="s">
        <v>28</v>
      </c>
      <c r="D14" s="18" t="n">
        <v>0.05</v>
      </c>
    </row>
    <row r="15" customFormat="false" ht="12.8" hidden="false" customHeight="false" outlineLevel="0" collapsed="false">
      <c r="C15" s="0" t="s">
        <v>29</v>
      </c>
      <c r="D15" s="12" t="n">
        <f aca="false">SUM(D9:D14)</f>
        <v>1</v>
      </c>
    </row>
    <row r="16" customFormat="false" ht="23.85" hidden="false" customHeight="false" outlineLevel="0" collapsed="false">
      <c r="A16" s="3" t="str">
        <f aca="false">B16&amp;"_"&amp;C16</f>
        <v>Agressivo_Papel</v>
      </c>
      <c r="B16" s="3" t="s">
        <v>13</v>
      </c>
      <c r="C16" s="3" t="s">
        <v>23</v>
      </c>
      <c r="D16" s="12" t="n">
        <v>0.15</v>
      </c>
    </row>
    <row r="17" customFormat="false" ht="23.85" hidden="false" customHeight="false" outlineLevel="0" collapsed="false">
      <c r="A17" s="3" t="str">
        <f aca="false">B17&amp;"_"&amp;C17</f>
        <v>Agressivo_Tijolo</v>
      </c>
      <c r="B17" s="3" t="s">
        <v>13</v>
      </c>
      <c r="C17" s="0" t="s">
        <v>24</v>
      </c>
      <c r="D17" s="18" t="n">
        <v>0.2</v>
      </c>
    </row>
    <row r="18" customFormat="false" ht="23.85" hidden="false" customHeight="false" outlineLevel="0" collapsed="false">
      <c r="A18" s="3" t="str">
        <f aca="false">B18&amp;"_"&amp;C18</f>
        <v>Agressivo_Híbridos</v>
      </c>
      <c r="B18" s="3" t="s">
        <v>13</v>
      </c>
      <c r="C18" s="3" t="s">
        <v>25</v>
      </c>
      <c r="D18" s="18" t="n">
        <v>0.15</v>
      </c>
    </row>
    <row r="19" customFormat="false" ht="23.85" hidden="false" customHeight="false" outlineLevel="0" collapsed="false">
      <c r="A19" s="3" t="str">
        <f aca="false">B19&amp;"_"&amp;C19</f>
        <v>Agressivo_FOFs</v>
      </c>
      <c r="B19" s="3" t="s">
        <v>13</v>
      </c>
      <c r="C19" s="0" t="s">
        <v>26</v>
      </c>
      <c r="D19" s="18" t="n">
        <v>0.1</v>
      </c>
    </row>
    <row r="20" customFormat="false" ht="23.85" hidden="false" customHeight="false" outlineLevel="0" collapsed="false">
      <c r="A20" s="3" t="str">
        <f aca="false">B20&amp;"_"&amp;C20</f>
        <v>Agressivo_Desenvolvimento</v>
      </c>
      <c r="B20" s="3" t="s">
        <v>13</v>
      </c>
      <c r="C20" s="0" t="s">
        <v>27</v>
      </c>
      <c r="D20" s="18" t="n">
        <v>0.25</v>
      </c>
    </row>
    <row r="21" customFormat="false" ht="23.85" hidden="false" customHeight="false" outlineLevel="0" collapsed="false">
      <c r="A21" s="3" t="str">
        <f aca="false">B21&amp;"_"&amp;C21</f>
        <v>Agressivo_Hotelaria</v>
      </c>
      <c r="B21" s="3" t="s">
        <v>13</v>
      </c>
      <c r="C21" s="0" t="s">
        <v>28</v>
      </c>
      <c r="D21" s="18" t="n">
        <v>0.15</v>
      </c>
    </row>
    <row r="22" customFormat="false" ht="12.8" hidden="false" customHeight="false" outlineLevel="0" collapsed="false">
      <c r="C22" s="0" t="s">
        <v>29</v>
      </c>
      <c r="D22" s="12" t="n">
        <f aca="false">SUM(D16:D21)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2026-10-13T13:28:59Z</dcterms:created>
  <dc:creator/>
  <dc:description/>
  <dc:language>pt-BR</dc:language>
  <cp:lastModifiedBy/>
  <dcterms:modified xsi:type="dcterms:W3CDTF">2026-10-14T13:23:37Z</dcterms:modified>
  <cp:revision>2</cp:revision>
  <dc:subject/>
  <dc:title/>
</cp:coreProperties>
</file>